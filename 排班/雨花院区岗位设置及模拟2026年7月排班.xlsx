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 activeTab="2"/>
  </bookViews>
  <sheets>
    <sheet name="岗位设置" sheetId="1" r:id="rId1"/>
    <sheet name="模拟排班算休息" sheetId="2" r:id="rId2"/>
    <sheet name="雨花药房门急诊202607排班模拟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<sst xmlns="http://schemas.openxmlformats.org/spreadsheetml/2006/main" count="824" uniqueCount="88">
  <si>
    <t>部门名称</t>
  </si>
  <si>
    <t>岗位设置</t>
  </si>
  <si>
    <t>工作时间</t>
  </si>
  <si>
    <t>备注</t>
  </si>
  <si>
    <t>急诊药房</t>
  </si>
  <si>
    <t>白班</t>
  </si>
  <si>
    <t>8:00-16:00</t>
  </si>
  <si>
    <t>调配核对发药</t>
  </si>
  <si>
    <t>小夜</t>
  </si>
  <si>
    <t>16:00-24:00</t>
  </si>
  <si>
    <t>大夜</t>
  </si>
  <si>
    <t>24:00-8:00</t>
  </si>
  <si>
    <t>门诊药房</t>
  </si>
  <si>
    <t>核对1</t>
  </si>
  <si>
    <t>7:30-11:30,12:00-15:00</t>
  </si>
  <si>
    <t>混发</t>
  </si>
  <si>
    <t>核对2</t>
  </si>
  <si>
    <t>8:00-12:00,14:00-17:00</t>
  </si>
  <si>
    <t>混发（直发）</t>
  </si>
  <si>
    <t>核对3</t>
  </si>
  <si>
    <t>9:00-12:00,15:00-19:00</t>
  </si>
  <si>
    <t>调配1</t>
  </si>
  <si>
    <t>混发调配</t>
  </si>
  <si>
    <t>机动1</t>
  </si>
  <si>
    <t>混发调配（机动）</t>
  </si>
  <si>
    <t>机动2</t>
  </si>
  <si>
    <t>药物咨询</t>
  </si>
  <si>
    <t>机动兼组长</t>
  </si>
  <si>
    <t>住院药房（配置中心）</t>
  </si>
  <si>
    <t>7:00-11:00,11:30-14:30</t>
  </si>
  <si>
    <t>基数药发放，临时长期医嘱，整理药架补充药品</t>
  </si>
  <si>
    <t>临时长期医嘱，麻醉药品交接班及发放，整理药架补充药品</t>
  </si>
  <si>
    <t>16:30-22:00</t>
  </si>
  <si>
    <t>核对4</t>
  </si>
  <si>
    <t>临时长期医嘱，病区退药，出院带药核发，整理药架补充药品</t>
  </si>
  <si>
    <t>调配2</t>
  </si>
  <si>
    <t>临时长期医嘱，出院带药调配，整理药架补充药品</t>
  </si>
  <si>
    <t>调配3</t>
  </si>
  <si>
    <t>9:30-12:00,16:00-20:00</t>
  </si>
  <si>
    <t>调配4</t>
  </si>
  <si>
    <t>片剂发药</t>
  </si>
  <si>
    <t>片剂摆药，核发，摆药机加药</t>
  </si>
  <si>
    <t>手麻</t>
  </si>
  <si>
    <t>发放麻醉药箱，核对回收药箱，整理补充药箱，接收核对住院药房集中发放药品，完善登记</t>
  </si>
  <si>
    <t>生殖药房</t>
  </si>
  <si>
    <t>核对</t>
  </si>
  <si>
    <t>核发药品，整理药架补充药品</t>
  </si>
  <si>
    <t>调配</t>
  </si>
  <si>
    <t>调配药品，整理药架补充药品</t>
  </si>
  <si>
    <t>库房</t>
  </si>
  <si>
    <t>本院库管</t>
  </si>
  <si>
    <t>制定采购请领计划，药品验收入库，分发上架，完善票据处理，药品储存养护、效期管理等</t>
  </si>
  <si>
    <t>库管1</t>
  </si>
  <si>
    <t>大输液发放，药品验收入库，分发上架，完善票据处理，药品储存养护、效期管理等</t>
  </si>
  <si>
    <t>库管2</t>
  </si>
  <si>
    <t>夜休</t>
  </si>
  <si>
    <t>休</t>
  </si>
  <si>
    <t>备</t>
  </si>
  <si>
    <t>6天休2</t>
  </si>
  <si>
    <t>7天休2</t>
  </si>
  <si>
    <t>8天休2</t>
  </si>
  <si>
    <t>9天休2</t>
  </si>
  <si>
    <t>8天休3</t>
  </si>
  <si>
    <t>9天休3</t>
  </si>
  <si>
    <t>12天休4</t>
  </si>
  <si>
    <t>13天休4</t>
  </si>
  <si>
    <t>13天休5</t>
  </si>
  <si>
    <t>14天休5</t>
  </si>
  <si>
    <t>15天休4</t>
  </si>
  <si>
    <t>应休</t>
  </si>
  <si>
    <t>实休</t>
  </si>
  <si>
    <t>序号</t>
  </si>
  <si>
    <t>姓名</t>
  </si>
  <si>
    <t>三</t>
  </si>
  <si>
    <t>四</t>
  </si>
  <si>
    <t>五</t>
  </si>
  <si>
    <t>六</t>
  </si>
  <si>
    <t>日</t>
  </si>
  <si>
    <t>一</t>
  </si>
  <si>
    <t>二</t>
  </si>
  <si>
    <t xml:space="preserve">五 </t>
  </si>
  <si>
    <t>留</t>
  </si>
  <si>
    <t>早</t>
  </si>
  <si>
    <t>中</t>
  </si>
  <si>
    <t>小</t>
  </si>
  <si>
    <t>大</t>
  </si>
  <si>
    <t>备/休</t>
  </si>
  <si>
    <t>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</si>
</sst>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name val="Tahoma"/>
      <family val="2"/>
      <charset val="134"/>
    </font>
    <font>
      <sz val="12"/>
      <name val="宋体"/>
      <charset val="134"/>
    </font>
    <font>
      <sz val="11"/>
      <name val="宋体"/>
      <charset val="134"/>
    </font>
    <font>
      <sz val="11"/>
      <color rgb="FFFF0000"/>
      <name val="等线"/>
      <charset val="134"/>
      <scheme val="minor"/>
    </font>
    <font>
      <sz val="1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indexed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 applyNumberFormat="0" applyBorder="0" applyProtection="0">
      <alignment vertical="center"/>
    </xf>
    <xf numFmtId="0" fontId="25" fillId="0" borderId="0" applyNumberFormat="0" applyBorder="0" applyAlignment="0" applyProtection="0">
      <alignment vertical="center"/>
    </xf>
    <xf numFmtId="0" fontId="25" fillId="0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shrinkToFit="1"/>
    </xf>
    <xf numFmtId="0" fontId="1" fillId="0" borderId="1" xfId="0" applyNumberFormat="1" applyFont="1" applyFill="1" applyBorder="1" applyAlignment="1">
      <alignment vertical="center"/>
    </xf>
    <xf numFmtId="0" fontId="2" fillId="0" borderId="1" xfId="50" applyNumberFormat="1" applyFont="1" applyFill="1" applyBorder="1" applyAlignment="1" applyProtection="1">
      <alignment horizontal="center" vertical="center"/>
    </xf>
    <xf numFmtId="0" fontId="2" fillId="0" borderId="1" xfId="49" applyNumberFormat="1" applyFont="1" applyFill="1" applyBorder="1" applyAlignment="1" applyProtection="1">
      <alignment horizontal="center" vertical="center"/>
    </xf>
    <xf numFmtId="0" fontId="2" fillId="2" borderId="1" xfId="49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>
      <alignment horizontal="center" vertical="center" shrinkToFit="1"/>
    </xf>
    <xf numFmtId="0" fontId="1" fillId="0" borderId="1" xfId="0" applyNumberFormat="1" applyFont="1" applyFill="1" applyBorder="1" applyAlignment="1">
      <alignment horizontal="center" vertical="center" shrinkToFit="1"/>
    </xf>
    <xf numFmtId="0" fontId="2" fillId="0" borderId="1" xfId="51" applyNumberFormat="1" applyFont="1" applyFill="1" applyBorder="1" applyAlignment="1" applyProtection="1">
      <alignment horizontal="center" vertical="center"/>
    </xf>
    <xf numFmtId="0" fontId="2" fillId="0" borderId="1" xfId="49" applyNumberFormat="1" applyFont="1" applyFill="1" applyBorder="1" applyAlignment="1" applyProtection="1">
      <alignment horizontal="center" vertical="center" shrinkToFit="1"/>
    </xf>
    <xf numFmtId="0" fontId="2" fillId="2" borderId="1" xfId="49" applyNumberFormat="1" applyFont="1" applyFill="1" applyBorder="1" applyAlignment="1" applyProtection="1">
      <alignment horizontal="center" vertical="center" shrinkToFit="1"/>
    </xf>
    <xf numFmtId="0" fontId="4" fillId="0" borderId="0" xfId="0" applyFont="1"/>
    <xf numFmtId="0" fontId="5" fillId="0" borderId="0" xfId="0" applyFont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_Sheet2" xfId="49"/>
    <cellStyle name="常规_Sheet1_Sheet2" xfId="50"/>
    <cellStyle name="常规_Sheet1" xfId="51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workbookViewId="0">
      <selection activeCell="B3" sqref="B3"/>
    </sheetView>
  </sheetViews>
  <sheetFormatPr defaultColWidth="32.3333333333333" defaultRowHeight="13.8" outlineLevelCol="3"/>
  <cols>
    <col min="4" max="4" width="61.7777777777778" customWidth="1"/>
  </cols>
  <sheetData>
    <row r="1" s="12" customFormat="1" ht="17.4" spans="1:4">
      <c r="A1" s="12" t="s">
        <v>0</v>
      </c>
      <c r="B1" s="12" t="s">
        <v>1</v>
      </c>
      <c r="C1" s="12" t="s">
        <v>2</v>
      </c>
      <c r="D1" s="12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B3" t="s">
        <v>8</v>
      </c>
      <c r="C3" t="s">
        <v>9</v>
      </c>
      <c r="D3" t="s">
        <v>7</v>
      </c>
    </row>
    <row r="4" spans="1:4">
      <c r="B4" t="s">
        <v>10</v>
      </c>
      <c r="C4" t="s">
        <v>11</v>
      </c>
      <c r="D4" t="s">
        <v>7</v>
      </c>
    </row>
    <row r="7" spans="1:4">
      <c r="A7" t="s">
        <v>12</v>
      </c>
      <c r="B7" t="s">
        <v>13</v>
      </c>
      <c r="C7" t="s">
        <v>14</v>
      </c>
      <c r="D7" t="s">
        <v>15</v>
      </c>
    </row>
    <row r="8" spans="1:4">
      <c r="B8" t="s">
        <v>16</v>
      </c>
      <c r="C8" t="s">
        <v>17</v>
      </c>
      <c r="D8" t="s">
        <v>18</v>
      </c>
    </row>
    <row r="9" spans="1:4">
      <c r="B9" t="s">
        <v>19</v>
      </c>
      <c r="C9" t="s">
        <v>20</v>
      </c>
      <c r="D9" t="s">
        <v>18</v>
      </c>
    </row>
    <row r="10" spans="1:4">
      <c r="B10" t="s">
        <v>21</v>
      </c>
      <c r="C10" t="s">
        <v>14</v>
      </c>
      <c r="D10" t="s">
        <v>22</v>
      </c>
    </row>
    <row r="11" spans="1:4">
      <c r="B11" t="s">
        <v>23</v>
      </c>
      <c r="C11" t="s">
        <v>17</v>
      </c>
      <c r="D11" t="s">
        <v>24</v>
      </c>
    </row>
    <row r="12" spans="1:4">
      <c r="B12" t="s">
        <v>25</v>
      </c>
      <c r="C12" t="s">
        <v>20</v>
      </c>
      <c r="D12" t="s">
        <v>24</v>
      </c>
    </row>
    <row r="13" spans="1:4">
      <c r="B13" t="s">
        <v>26</v>
      </c>
      <c r="C13" t="s">
        <v>17</v>
      </c>
    </row>
    <row r="14" spans="1:4">
      <c r="B14" t="s">
        <v>27</v>
      </c>
      <c r="C14" t="s">
        <v>17</v>
      </c>
    </row>
    <row r="17" spans="1:4">
      <c r="A17" t="s">
        <v>28</v>
      </c>
      <c r="B17" t="s">
        <v>13</v>
      </c>
      <c r="C17" t="s">
        <v>29</v>
      </c>
      <c r="D17" t="s">
        <v>30</v>
      </c>
    </row>
    <row r="18" spans="1:4">
      <c r="B18" t="s">
        <v>16</v>
      </c>
      <c r="C18" t="s">
        <v>17</v>
      </c>
      <c r="D18" t="s">
        <v>31</v>
      </c>
    </row>
    <row r="19" spans="1:4">
      <c r="B19" t="s">
        <v>19</v>
      </c>
      <c r="C19" t="s">
        <v>32</v>
      </c>
      <c r="D19" t="s">
        <v>31</v>
      </c>
    </row>
    <row r="20" spans="1:4">
      <c r="B20" t="s">
        <v>33</v>
      </c>
      <c r="C20" t="s">
        <v>17</v>
      </c>
      <c r="D20" t="s">
        <v>34</v>
      </c>
    </row>
    <row r="21" spans="1:4">
      <c r="B21" t="s">
        <v>21</v>
      </c>
      <c r="C21" t="s">
        <v>29</v>
      </c>
      <c r="D21" t="s">
        <v>30</v>
      </c>
    </row>
    <row r="22" spans="1:4">
      <c r="B22" t="s">
        <v>35</v>
      </c>
      <c r="C22" t="s">
        <v>17</v>
      </c>
      <c r="D22" t="s">
        <v>36</v>
      </c>
    </row>
    <row r="23" spans="1:4">
      <c r="B23" t="s">
        <v>37</v>
      </c>
      <c r="C23" t="s">
        <v>38</v>
      </c>
      <c r="D23" t="s">
        <v>36</v>
      </c>
    </row>
    <row r="24" spans="1:4">
      <c r="B24" t="s">
        <v>39</v>
      </c>
      <c r="C24" t="s">
        <v>17</v>
      </c>
      <c r="D24" t="s">
        <v>36</v>
      </c>
    </row>
    <row r="25" spans="1:4">
      <c r="B25" t="s">
        <v>40</v>
      </c>
      <c r="C25" t="s">
        <v>17</v>
      </c>
      <c r="D25" t="s">
        <v>41</v>
      </c>
    </row>
    <row r="26" spans="1:4">
      <c r="B26" t="s">
        <v>27</v>
      </c>
      <c r="C26" t="s">
        <v>17</v>
      </c>
    </row>
    <row r="27" spans="1:4">
      <c r="B27" t="s">
        <v>42</v>
      </c>
      <c r="C27" t="s">
        <v>17</v>
      </c>
      <c r="D27" t="s">
        <v>43</v>
      </c>
    </row>
    <row r="32" spans="1:4">
      <c r="A32" t="s">
        <v>44</v>
      </c>
      <c r="B32" t="s">
        <v>45</v>
      </c>
      <c r="C32" t="s">
        <v>17</v>
      </c>
      <c r="D32" t="s">
        <v>46</v>
      </c>
    </row>
    <row r="33" spans="1:4">
      <c r="B33" t="s">
        <v>47</v>
      </c>
      <c r="C33" t="s">
        <v>17</v>
      </c>
      <c r="D33" t="s">
        <v>48</v>
      </c>
    </row>
    <row r="35" spans="1:4">
      <c r="A35" t="s">
        <v>49</v>
      </c>
      <c r="B35" t="s">
        <v>50</v>
      </c>
      <c r="C35" t="s">
        <v>17</v>
      </c>
      <c r="D35" t="s">
        <v>51</v>
      </c>
    </row>
    <row r="36" spans="1:4">
      <c r="B36" t="s">
        <v>52</v>
      </c>
      <c r="C36" t="s">
        <v>17</v>
      </c>
      <c r="D36" t="s">
        <v>53</v>
      </c>
    </row>
    <row r="37" spans="1:4">
      <c r="B37" t="s">
        <v>54</v>
      </c>
      <c r="C37" t="s">
        <v>17</v>
      </c>
      <c r="D37" t="s">
        <v>53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5"/>
  <sheetViews>
    <sheetView topLeftCell="E1" workbookViewId="0">
      <selection activeCell="K2" sqref="K2"/>
    </sheetView>
  </sheetViews>
  <sheetFormatPr defaultColWidth="8.88888888888889" defaultRowHeight="13.8"/>
  <cols>
    <col min="12" max="13" width="12.8888888888889"/>
    <col min="15" max="15" width="12.8888888888889"/>
    <col min="17" max="22" width="12.8888888888889"/>
  </cols>
  <sheetData>
    <row r="1" spans="1:22">
      <c r="A1">
        <v>1</v>
      </c>
      <c r="B1" t="s">
        <v>5</v>
      </c>
      <c r="C1" t="s">
        <v>8</v>
      </c>
      <c r="D1" t="s">
        <v>10</v>
      </c>
      <c r="E1" t="s">
        <v>55</v>
      </c>
      <c r="F1" t="s">
        <v>56</v>
      </c>
      <c r="G1" t="s">
        <v>56</v>
      </c>
      <c r="H1" t="s">
        <v>57</v>
      </c>
      <c r="L1" t="s">
        <v>58</v>
      </c>
      <c r="M1" t="s">
        <v>59</v>
      </c>
      <c r="N1" t="s">
        <v>60</v>
      </c>
      <c r="O1" t="s">
        <v>61</v>
      </c>
      <c r="P1" s="11" t="s">
        <v>62</v>
      </c>
      <c r="Q1" s="1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</row>
    <row r="2" spans="1:22">
      <c r="A2">
        <v>2</v>
      </c>
      <c r="K2">
        <f>104+13+10</f>
        <v>127</v>
      </c>
      <c r="L2">
        <f>365/6*2</f>
        <v>121.666666666667</v>
      </c>
      <c r="M2">
        <f>365/7*2</f>
        <v>104.285714285714</v>
      </c>
      <c r="N2">
        <f>365/8*2</f>
        <v>91.25</v>
      </c>
      <c r="O2">
        <f>365/9*2</f>
        <v>81.1111111111111</v>
      </c>
      <c r="P2">
        <f>365/8*3</f>
        <v>136.875</v>
      </c>
      <c r="Q2">
        <f>365/9*3</f>
        <v>121.666666666667</v>
      </c>
      <c r="R2">
        <f>365/12*4</f>
        <v>121.666666666667</v>
      </c>
      <c r="S2">
        <f>365/13*4</f>
        <v>112.307692307692</v>
      </c>
      <c r="T2">
        <f>365/13*5</f>
        <v>140.384615384615</v>
      </c>
      <c r="U2">
        <f>365/14*5</f>
        <v>130.357142857143</v>
      </c>
      <c r="V2">
        <f>365/15*4</f>
        <v>97.3333333333333</v>
      </c>
    </row>
    <row r="3" spans="1:22">
      <c r="A3">
        <v>3</v>
      </c>
    </row>
    <row r="7" spans="1:22">
      <c r="A7">
        <v>7</v>
      </c>
    </row>
    <row r="8" spans="1:22">
      <c r="A8">
        <v>8</v>
      </c>
    </row>
    <row r="9" spans="1:22">
      <c r="A9">
        <v>9</v>
      </c>
    </row>
    <row r="10" spans="1:22">
      <c r="A10">
        <v>10</v>
      </c>
    </row>
    <row r="11" spans="1:22">
      <c r="A11">
        <v>11</v>
      </c>
    </row>
    <row r="12" spans="1:22">
      <c r="A12">
        <v>12</v>
      </c>
    </row>
    <row r="13" spans="1:22">
      <c r="A13">
        <v>13</v>
      </c>
    </row>
    <row r="14" spans="1:22">
      <c r="A14">
        <v>14</v>
      </c>
    </row>
    <row r="15" spans="1:22">
      <c r="A15">
        <v>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5"/>
  <sheetViews>
    <sheetView tabSelected="1" workbookViewId="0">
      <selection activeCell="B27" sqref="B27"/>
    </sheetView>
  </sheetViews>
  <sheetFormatPr defaultColWidth="8.88888888888889" defaultRowHeight="13.8"/>
  <cols>
    <col min="1" max="1" width="2.44444444444444" customWidth="1"/>
    <col min="2" max="2" width="6.11111111111111" customWidth="1"/>
    <col min="3" max="33" width="3.88888888888889" customWidth="1"/>
    <col min="34" max="35" width="3.55555555555556" style="1" customWidth="1"/>
  </cols>
  <sheetData>
    <row r="1" ht="15.6" spans="1:35">
      <c r="A1" s="2"/>
      <c r="B1" s="3"/>
      <c r="C1" s="4">
        <v>1</v>
      </c>
      <c r="D1" s="4">
        <v>2</v>
      </c>
      <c r="E1" s="4">
        <v>3</v>
      </c>
      <c r="F1" s="5">
        <v>4</v>
      </c>
      <c r="G1" s="5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  <c r="M1" s="5">
        <v>11</v>
      </c>
      <c r="N1" s="5">
        <v>12</v>
      </c>
      <c r="O1" s="4">
        <v>13</v>
      </c>
      <c r="P1" s="4">
        <v>14</v>
      </c>
      <c r="Q1" s="4">
        <v>15</v>
      </c>
      <c r="R1" s="4">
        <v>16</v>
      </c>
      <c r="S1" s="4">
        <v>17</v>
      </c>
      <c r="T1" s="5">
        <v>18</v>
      </c>
      <c r="U1" s="5">
        <v>19</v>
      </c>
      <c r="V1" s="4">
        <v>20</v>
      </c>
      <c r="W1" s="4">
        <v>21</v>
      </c>
      <c r="X1" s="4">
        <v>22</v>
      </c>
      <c r="Y1" s="4">
        <v>23</v>
      </c>
      <c r="Z1" s="4">
        <v>24</v>
      </c>
      <c r="AA1" s="5">
        <v>25</v>
      </c>
      <c r="AB1" s="5">
        <v>26</v>
      </c>
      <c r="AC1" s="4">
        <v>27</v>
      </c>
      <c r="AD1" s="4">
        <v>28</v>
      </c>
      <c r="AE1" s="4">
        <v>29</v>
      </c>
      <c r="AF1" s="4">
        <v>30</v>
      </c>
      <c r="AG1" s="4">
        <v>31</v>
      </c>
      <c r="AH1" s="1" t="s">
        <v>69</v>
      </c>
      <c r="AI1" s="1" t="s">
        <v>70</v>
      </c>
    </row>
    <row r="2" ht="15.6" spans="1:35">
      <c r="A2" s="6" t="s">
        <v>71</v>
      </c>
      <c r="B2" s="3" t="s">
        <v>72</v>
      </c>
      <c r="C2" s="4" t="s">
        <v>73</v>
      </c>
      <c r="D2" s="4" t="s">
        <v>74</v>
      </c>
      <c r="E2" s="4" t="s">
        <v>75</v>
      </c>
      <c r="F2" s="5" t="s">
        <v>76</v>
      </c>
      <c r="G2" s="5" t="s">
        <v>77</v>
      </c>
      <c r="H2" s="4" t="s">
        <v>78</v>
      </c>
      <c r="I2" s="4" t="s">
        <v>79</v>
      </c>
      <c r="J2" s="4" t="s">
        <v>73</v>
      </c>
      <c r="K2" s="4" t="s">
        <v>74</v>
      </c>
      <c r="L2" s="4" t="s">
        <v>75</v>
      </c>
      <c r="M2" s="5" t="s">
        <v>76</v>
      </c>
      <c r="N2" s="5" t="s">
        <v>77</v>
      </c>
      <c r="O2" s="4" t="s">
        <v>78</v>
      </c>
      <c r="P2" s="4" t="s">
        <v>79</v>
      </c>
      <c r="Q2" s="4" t="s">
        <v>73</v>
      </c>
      <c r="R2" s="4" t="s">
        <v>74</v>
      </c>
      <c r="S2" s="4" t="s">
        <v>75</v>
      </c>
      <c r="T2" s="5" t="s">
        <v>76</v>
      </c>
      <c r="U2" s="5" t="s">
        <v>77</v>
      </c>
      <c r="V2" s="4" t="s">
        <v>78</v>
      </c>
      <c r="W2" s="4" t="s">
        <v>79</v>
      </c>
      <c r="X2" s="4" t="s">
        <v>73</v>
      </c>
      <c r="Y2" s="4" t="s">
        <v>74</v>
      </c>
      <c r="Z2" s="4" t="s">
        <v>75</v>
      </c>
      <c r="AA2" s="5" t="s">
        <v>76</v>
      </c>
      <c r="AB2" s="5" t="s">
        <v>77</v>
      </c>
      <c r="AC2" s="4" t="s">
        <v>78</v>
      </c>
      <c r="AD2" s="4" t="s">
        <v>79</v>
      </c>
      <c r="AE2" s="4" t="s">
        <v>73</v>
      </c>
      <c r="AF2" s="4" t="s">
        <v>74</v>
      </c>
      <c r="AG2" s="4" t="s">
        <v>80</v>
      </c>
      <c r="AH2" s="1" t="s">
        <v>69</v>
      </c>
      <c r="AI2" s="1" t="s">
        <v>70</v>
      </c>
    </row>
    <row r="3" ht="15.6" spans="1:35">
      <c r="A3" s="7">
        <v>1</v>
      </c>
      <c r="B3" s="8"/>
      <c r="C3" s="9" t="s">
        <v>81</v>
      </c>
      <c r="D3" s="9" t="s">
        <v>82</v>
      </c>
      <c r="E3" s="9" t="s">
        <v>83</v>
      </c>
      <c r="F3" s="10" t="s">
        <v>84</v>
      </c>
      <c r="G3" s="10" t="s">
        <v>85</v>
      </c>
      <c r="H3" s="9" t="s">
        <v>55</v>
      </c>
      <c r="I3" s="9" t="s">
        <v>86</v>
      </c>
      <c r="J3" s="9" t="s">
        <v>56</v>
      </c>
      <c r="K3" s="9" t="s">
        <v>81</v>
      </c>
      <c r="L3" s="9" t="s">
        <v>82</v>
      </c>
      <c r="M3" s="10" t="s">
        <v>83</v>
      </c>
      <c r="N3" s="10" t="s">
        <v>84</v>
      </c>
      <c r="O3" s="9" t="s">
        <v>85</v>
      </c>
      <c r="P3" s="9" t="s">
        <v>55</v>
      </c>
      <c r="Q3" s="9" t="s">
        <v>86</v>
      </c>
      <c r="R3" s="9" t="s">
        <v>56</v>
      </c>
      <c r="S3" s="9" t="s">
        <v>81</v>
      </c>
      <c r="T3" s="10" t="s">
        <v>82</v>
      </c>
      <c r="U3" s="10" t="s">
        <v>83</v>
      </c>
      <c r="V3" s="9" t="s">
        <v>84</v>
      </c>
      <c r="W3" s="9" t="s">
        <v>85</v>
      </c>
      <c r="X3" s="9" t="s">
        <v>55</v>
      </c>
      <c r="Y3" s="9" t="s">
        <v>86</v>
      </c>
      <c r="Z3" s="9" t="s">
        <v>56</v>
      </c>
      <c r="AA3" s="10" t="s">
        <v>81</v>
      </c>
      <c r="AB3" s="10" t="s">
        <v>82</v>
      </c>
      <c r="AC3" s="9" t="s">
        <v>83</v>
      </c>
      <c r="AD3" s="9" t="s">
        <v>84</v>
      </c>
      <c r="AE3" s="9" t="s">
        <v>85</v>
      </c>
      <c r="AF3" s="9" t="s">
        <v>55</v>
      </c>
      <c r="AG3" s="9" t="s">
        <v>86</v>
      </c>
      <c r="AH3" s="1">
        <v>8</v>
      </c>
      <c r="AI3" s="1">
        <f>COUNTIF(C3:AG3,"休")+COUNTIF(C3:AG3,"备/休")</f>
        <v>7</v>
      </c>
    </row>
    <row r="4" ht="15.6" spans="1:35">
      <c r="A4" s="7">
        <v>2</v>
      </c>
      <c r="B4" s="8"/>
      <c r="C4" s="9" t="s">
        <v>56</v>
      </c>
      <c r="D4" s="9" t="s">
        <v>81</v>
      </c>
      <c r="E4" s="9" t="s">
        <v>82</v>
      </c>
      <c r="F4" s="10" t="s">
        <v>83</v>
      </c>
      <c r="G4" s="10" t="s">
        <v>84</v>
      </c>
      <c r="H4" s="9" t="s">
        <v>85</v>
      </c>
      <c r="I4" s="9" t="s">
        <v>55</v>
      </c>
      <c r="J4" s="9" t="s">
        <v>86</v>
      </c>
      <c r="K4" s="9" t="s">
        <v>56</v>
      </c>
      <c r="L4" s="9" t="s">
        <v>81</v>
      </c>
      <c r="M4" s="10" t="s">
        <v>82</v>
      </c>
      <c r="N4" s="10" t="s">
        <v>83</v>
      </c>
      <c r="O4" s="9" t="s">
        <v>84</v>
      </c>
      <c r="P4" s="9" t="s">
        <v>85</v>
      </c>
      <c r="Q4" s="9" t="s">
        <v>55</v>
      </c>
      <c r="R4" s="9" t="s">
        <v>86</v>
      </c>
      <c r="S4" s="9" t="s">
        <v>56</v>
      </c>
      <c r="T4" s="10" t="s">
        <v>81</v>
      </c>
      <c r="U4" s="10" t="s">
        <v>82</v>
      </c>
      <c r="V4" s="9" t="s">
        <v>83</v>
      </c>
      <c r="W4" s="9" t="s">
        <v>84</v>
      </c>
      <c r="X4" s="9" t="s">
        <v>85</v>
      </c>
      <c r="Y4" s="9" t="s">
        <v>55</v>
      </c>
      <c r="Z4" s="9" t="s">
        <v>86</v>
      </c>
      <c r="AA4" s="10" t="s">
        <v>56</v>
      </c>
      <c r="AB4" s="10" t="s">
        <v>81</v>
      </c>
      <c r="AC4" s="9" t="s">
        <v>82</v>
      </c>
      <c r="AD4" s="9" t="s">
        <v>83</v>
      </c>
      <c r="AE4" s="9" t="s">
        <v>84</v>
      </c>
      <c r="AF4" s="9" t="s">
        <v>85</v>
      </c>
      <c r="AG4" s="9" t="s">
        <v>55</v>
      </c>
      <c r="AH4" s="1">
        <v>8</v>
      </c>
      <c r="AI4" s="1">
        <f t="shared" ref="AI4:AI25" si="0">COUNTIF(C4:AG4,"休")+COUNTIF(C4:AG4,"备/休")</f>
        <v>7</v>
      </c>
    </row>
    <row r="5" ht="15.6" spans="1:35">
      <c r="A5" s="7">
        <v>3</v>
      </c>
      <c r="B5" s="8"/>
      <c r="C5" s="9" t="s">
        <v>86</v>
      </c>
      <c r="D5" s="9" t="s">
        <v>56</v>
      </c>
      <c r="E5" s="9" t="s">
        <v>81</v>
      </c>
      <c r="F5" s="10" t="s">
        <v>82</v>
      </c>
      <c r="G5" s="10" t="s">
        <v>83</v>
      </c>
      <c r="H5" s="9" t="s">
        <v>84</v>
      </c>
      <c r="I5" s="9" t="s">
        <v>85</v>
      </c>
      <c r="J5" s="9" t="s">
        <v>55</v>
      </c>
      <c r="K5" s="9" t="s">
        <v>86</v>
      </c>
      <c r="L5" s="9" t="s">
        <v>56</v>
      </c>
      <c r="M5" s="10" t="s">
        <v>81</v>
      </c>
      <c r="N5" s="10" t="s">
        <v>82</v>
      </c>
      <c r="O5" s="9" t="s">
        <v>83</v>
      </c>
      <c r="P5" s="9" t="s">
        <v>84</v>
      </c>
      <c r="Q5" s="9" t="s">
        <v>85</v>
      </c>
      <c r="R5" s="9" t="s">
        <v>55</v>
      </c>
      <c r="S5" s="9" t="s">
        <v>86</v>
      </c>
      <c r="T5" s="10" t="s">
        <v>56</v>
      </c>
      <c r="U5" s="10" t="s">
        <v>81</v>
      </c>
      <c r="V5" s="9" t="s">
        <v>82</v>
      </c>
      <c r="W5" s="9" t="s">
        <v>83</v>
      </c>
      <c r="X5" s="9" t="s">
        <v>84</v>
      </c>
      <c r="Y5" s="9" t="s">
        <v>85</v>
      </c>
      <c r="Z5" s="9" t="s">
        <v>55</v>
      </c>
      <c r="AA5" s="10" t="s">
        <v>86</v>
      </c>
      <c r="AB5" s="10" t="s">
        <v>56</v>
      </c>
      <c r="AC5" s="9" t="s">
        <v>81</v>
      </c>
      <c r="AD5" s="9" t="s">
        <v>82</v>
      </c>
      <c r="AE5" s="9" t="s">
        <v>83</v>
      </c>
      <c r="AF5" s="9" t="s">
        <v>84</v>
      </c>
      <c r="AG5" s="9" t="s">
        <v>85</v>
      </c>
      <c r="AH5" s="1">
        <v>8</v>
      </c>
      <c r="AI5" s="1">
        <f t="shared" si="0"/>
        <v>8</v>
      </c>
    </row>
    <row r="6" ht="15.6" spans="1:35">
      <c r="A6" s="7">
        <v>4</v>
      </c>
      <c r="B6" s="8"/>
      <c r="C6" s="9" t="s">
        <v>55</v>
      </c>
      <c r="D6" s="9" t="s">
        <v>86</v>
      </c>
      <c r="E6" s="9" t="s">
        <v>56</v>
      </c>
      <c r="F6" s="10" t="s">
        <v>81</v>
      </c>
      <c r="G6" s="10" t="s">
        <v>82</v>
      </c>
      <c r="H6" s="9" t="s">
        <v>83</v>
      </c>
      <c r="I6" s="9" t="s">
        <v>84</v>
      </c>
      <c r="J6" s="9" t="s">
        <v>85</v>
      </c>
      <c r="K6" s="9" t="s">
        <v>55</v>
      </c>
      <c r="L6" s="9" t="s">
        <v>86</v>
      </c>
      <c r="M6" s="10" t="s">
        <v>56</v>
      </c>
      <c r="N6" s="10" t="s">
        <v>81</v>
      </c>
      <c r="O6" s="9" t="s">
        <v>82</v>
      </c>
      <c r="P6" s="9" t="s">
        <v>83</v>
      </c>
      <c r="Q6" s="9" t="s">
        <v>84</v>
      </c>
      <c r="R6" s="9" t="s">
        <v>85</v>
      </c>
      <c r="S6" s="9" t="s">
        <v>55</v>
      </c>
      <c r="T6" s="10" t="s">
        <v>86</v>
      </c>
      <c r="U6" s="10" t="s">
        <v>56</v>
      </c>
      <c r="V6" s="9" t="s">
        <v>81</v>
      </c>
      <c r="W6" s="9" t="s">
        <v>82</v>
      </c>
      <c r="X6" s="9" t="s">
        <v>83</v>
      </c>
      <c r="Y6" s="9" t="s">
        <v>84</v>
      </c>
      <c r="Z6" s="9" t="s">
        <v>85</v>
      </c>
      <c r="AA6" s="10" t="s">
        <v>55</v>
      </c>
      <c r="AB6" s="10" t="s">
        <v>86</v>
      </c>
      <c r="AC6" s="9" t="s">
        <v>56</v>
      </c>
      <c r="AD6" s="9" t="s">
        <v>81</v>
      </c>
      <c r="AE6" s="9" t="s">
        <v>82</v>
      </c>
      <c r="AF6" s="9" t="s">
        <v>83</v>
      </c>
      <c r="AG6" s="9" t="s">
        <v>84</v>
      </c>
      <c r="AH6" s="1">
        <v>8</v>
      </c>
      <c r="AI6" s="1">
        <f t="shared" si="0"/>
        <v>8</v>
      </c>
    </row>
    <row r="7" ht="15.6" spans="1:35">
      <c r="A7" s="7">
        <v>5</v>
      </c>
      <c r="B7" s="8"/>
      <c r="C7" s="9" t="s">
        <v>85</v>
      </c>
      <c r="D7" s="9" t="s">
        <v>55</v>
      </c>
      <c r="E7" s="9" t="s">
        <v>86</v>
      </c>
      <c r="F7" s="10" t="s">
        <v>56</v>
      </c>
      <c r="G7" s="10" t="s">
        <v>81</v>
      </c>
      <c r="H7" s="9" t="s">
        <v>82</v>
      </c>
      <c r="I7" s="9" t="s">
        <v>83</v>
      </c>
      <c r="J7" s="9" t="s">
        <v>84</v>
      </c>
      <c r="K7" s="9" t="s">
        <v>85</v>
      </c>
      <c r="L7" s="9" t="s">
        <v>55</v>
      </c>
      <c r="M7" s="10" t="s">
        <v>86</v>
      </c>
      <c r="N7" s="10" t="s">
        <v>56</v>
      </c>
      <c r="O7" s="9" t="s">
        <v>81</v>
      </c>
      <c r="P7" s="9" t="s">
        <v>82</v>
      </c>
      <c r="Q7" s="9" t="s">
        <v>83</v>
      </c>
      <c r="R7" s="9" t="s">
        <v>84</v>
      </c>
      <c r="S7" s="9" t="s">
        <v>85</v>
      </c>
      <c r="T7" s="10" t="s">
        <v>55</v>
      </c>
      <c r="U7" s="10" t="s">
        <v>86</v>
      </c>
      <c r="V7" s="9" t="s">
        <v>56</v>
      </c>
      <c r="W7" s="9" t="s">
        <v>81</v>
      </c>
      <c r="X7" s="9" t="s">
        <v>82</v>
      </c>
      <c r="Y7" s="9" t="s">
        <v>83</v>
      </c>
      <c r="Z7" s="9" t="s">
        <v>84</v>
      </c>
      <c r="AA7" s="10" t="s">
        <v>85</v>
      </c>
      <c r="AB7" s="10" t="s">
        <v>55</v>
      </c>
      <c r="AC7" s="9" t="s">
        <v>86</v>
      </c>
      <c r="AD7" s="9" t="s">
        <v>56</v>
      </c>
      <c r="AE7" s="9" t="s">
        <v>81</v>
      </c>
      <c r="AF7" s="9" t="s">
        <v>82</v>
      </c>
      <c r="AG7" s="9" t="s">
        <v>83</v>
      </c>
      <c r="AH7" s="1">
        <v>8</v>
      </c>
      <c r="AI7" s="1">
        <f t="shared" si="0"/>
        <v>8</v>
      </c>
    </row>
    <row r="8" ht="15.6" spans="1:35">
      <c r="A8" s="7">
        <v>6</v>
      </c>
      <c r="B8" s="8"/>
      <c r="C8" s="9" t="s">
        <v>84</v>
      </c>
      <c r="D8" s="9" t="s">
        <v>85</v>
      </c>
      <c r="E8" s="9" t="s">
        <v>55</v>
      </c>
      <c r="F8" s="10" t="s">
        <v>86</v>
      </c>
      <c r="G8" s="10" t="s">
        <v>56</v>
      </c>
      <c r="H8" s="9" t="s">
        <v>81</v>
      </c>
      <c r="I8" s="9" t="s">
        <v>82</v>
      </c>
      <c r="J8" s="9" t="s">
        <v>83</v>
      </c>
      <c r="K8" s="9" t="s">
        <v>84</v>
      </c>
      <c r="L8" s="9" t="s">
        <v>85</v>
      </c>
      <c r="M8" s="10" t="s">
        <v>55</v>
      </c>
      <c r="N8" s="10" t="s">
        <v>86</v>
      </c>
      <c r="O8" s="9" t="s">
        <v>56</v>
      </c>
      <c r="P8" s="9" t="s">
        <v>81</v>
      </c>
      <c r="Q8" s="9" t="s">
        <v>82</v>
      </c>
      <c r="R8" s="9" t="s">
        <v>83</v>
      </c>
      <c r="S8" s="9" t="s">
        <v>84</v>
      </c>
      <c r="T8" s="10" t="s">
        <v>85</v>
      </c>
      <c r="U8" s="10" t="s">
        <v>55</v>
      </c>
      <c r="V8" s="9" t="s">
        <v>86</v>
      </c>
      <c r="W8" s="9" t="s">
        <v>56</v>
      </c>
      <c r="X8" s="9" t="s">
        <v>81</v>
      </c>
      <c r="Y8" s="9" t="s">
        <v>82</v>
      </c>
      <c r="Z8" s="9" t="s">
        <v>83</v>
      </c>
      <c r="AA8" s="10" t="s">
        <v>84</v>
      </c>
      <c r="AB8" s="10" t="s">
        <v>85</v>
      </c>
      <c r="AC8" s="9" t="s">
        <v>55</v>
      </c>
      <c r="AD8" s="9" t="s">
        <v>86</v>
      </c>
      <c r="AE8" s="9" t="s">
        <v>56</v>
      </c>
      <c r="AF8" s="9" t="s">
        <v>81</v>
      </c>
      <c r="AG8" s="9" t="s">
        <v>82</v>
      </c>
      <c r="AH8" s="1">
        <v>8</v>
      </c>
      <c r="AI8" s="1">
        <f t="shared" si="0"/>
        <v>8</v>
      </c>
    </row>
    <row r="9" ht="15.6" spans="1:35">
      <c r="A9" s="7">
        <v>7</v>
      </c>
      <c r="B9" s="8"/>
      <c r="C9" s="9" t="s">
        <v>83</v>
      </c>
      <c r="D9" s="9" t="s">
        <v>84</v>
      </c>
      <c r="E9" s="9" t="s">
        <v>85</v>
      </c>
      <c r="F9" s="10" t="s">
        <v>55</v>
      </c>
      <c r="G9" s="10" t="s">
        <v>86</v>
      </c>
      <c r="H9" s="9" t="s">
        <v>56</v>
      </c>
      <c r="I9" s="9" t="s">
        <v>81</v>
      </c>
      <c r="J9" s="9" t="s">
        <v>82</v>
      </c>
      <c r="K9" s="9" t="s">
        <v>83</v>
      </c>
      <c r="L9" s="9" t="s">
        <v>84</v>
      </c>
      <c r="M9" s="10" t="s">
        <v>85</v>
      </c>
      <c r="N9" s="10" t="s">
        <v>55</v>
      </c>
      <c r="O9" s="9" t="s">
        <v>86</v>
      </c>
      <c r="P9" s="9" t="s">
        <v>56</v>
      </c>
      <c r="Q9" s="9" t="s">
        <v>81</v>
      </c>
      <c r="R9" s="9" t="s">
        <v>82</v>
      </c>
      <c r="S9" s="9" t="s">
        <v>83</v>
      </c>
      <c r="T9" s="10" t="s">
        <v>84</v>
      </c>
      <c r="U9" s="10" t="s">
        <v>85</v>
      </c>
      <c r="V9" s="9" t="s">
        <v>55</v>
      </c>
      <c r="W9" s="9" t="s">
        <v>86</v>
      </c>
      <c r="X9" s="9" t="s">
        <v>56</v>
      </c>
      <c r="Y9" s="9" t="s">
        <v>81</v>
      </c>
      <c r="Z9" s="9" t="s">
        <v>82</v>
      </c>
      <c r="AA9" s="10" t="s">
        <v>83</v>
      </c>
      <c r="AB9" s="10" t="s">
        <v>84</v>
      </c>
      <c r="AC9" s="9" t="s">
        <v>85</v>
      </c>
      <c r="AD9" s="9" t="s">
        <v>55</v>
      </c>
      <c r="AE9" s="9" t="s">
        <v>86</v>
      </c>
      <c r="AF9" s="9" t="s">
        <v>56</v>
      </c>
      <c r="AG9" s="9" t="s">
        <v>81</v>
      </c>
      <c r="AH9" s="1">
        <v>8</v>
      </c>
      <c r="AI9" s="1">
        <f t="shared" si="0"/>
        <v>8</v>
      </c>
    </row>
    <row r="10" ht="15.6" spans="1:35">
      <c r="A10" s="7">
        <v>8</v>
      </c>
      <c r="B10" s="8"/>
      <c r="C10" s="9" t="s">
        <v>82</v>
      </c>
      <c r="D10" s="9" t="s">
        <v>83</v>
      </c>
      <c r="E10" s="9" t="s">
        <v>84</v>
      </c>
      <c r="F10" s="10" t="s">
        <v>85</v>
      </c>
      <c r="G10" s="10" t="s">
        <v>55</v>
      </c>
      <c r="H10" s="9" t="s">
        <v>86</v>
      </c>
      <c r="I10" s="9" t="s">
        <v>56</v>
      </c>
      <c r="J10" s="9" t="s">
        <v>81</v>
      </c>
      <c r="K10" s="9" t="s">
        <v>82</v>
      </c>
      <c r="L10" s="9" t="s">
        <v>83</v>
      </c>
      <c r="M10" s="10" t="s">
        <v>84</v>
      </c>
      <c r="N10" s="10" t="s">
        <v>85</v>
      </c>
      <c r="O10" s="9" t="s">
        <v>55</v>
      </c>
      <c r="P10" s="9" t="s">
        <v>86</v>
      </c>
      <c r="Q10" s="9" t="s">
        <v>56</v>
      </c>
      <c r="R10" s="9" t="s">
        <v>81</v>
      </c>
      <c r="S10" s="9" t="s">
        <v>82</v>
      </c>
      <c r="T10" s="10" t="s">
        <v>83</v>
      </c>
      <c r="U10" s="10" t="s">
        <v>84</v>
      </c>
      <c r="V10" s="9" t="s">
        <v>85</v>
      </c>
      <c r="W10" s="9" t="s">
        <v>55</v>
      </c>
      <c r="X10" s="9" t="s">
        <v>86</v>
      </c>
      <c r="Y10" s="9" t="s">
        <v>56</v>
      </c>
      <c r="Z10" s="9" t="s">
        <v>81</v>
      </c>
      <c r="AA10" s="10" t="s">
        <v>82</v>
      </c>
      <c r="AB10" s="10" t="s">
        <v>83</v>
      </c>
      <c r="AC10" s="9" t="s">
        <v>84</v>
      </c>
      <c r="AD10" s="9" t="s">
        <v>85</v>
      </c>
      <c r="AE10" s="9" t="s">
        <v>55</v>
      </c>
      <c r="AF10" s="9" t="s">
        <v>86</v>
      </c>
      <c r="AG10" s="9" t="s">
        <v>56</v>
      </c>
      <c r="AH10" s="1">
        <v>8</v>
      </c>
      <c r="AI10" s="1">
        <f t="shared" si="0"/>
        <v>8</v>
      </c>
    </row>
    <row r="11" ht="15.6" spans="1:35">
      <c r="A11" s="7">
        <v>9</v>
      </c>
      <c r="B11" s="8"/>
      <c r="C11" s="4"/>
      <c r="D11" s="4"/>
      <c r="E11" s="4"/>
      <c r="F11" s="5"/>
      <c r="G11" s="5"/>
      <c r="H11" s="4"/>
      <c r="I11" s="4"/>
      <c r="J11" s="4"/>
      <c r="K11" s="4"/>
      <c r="L11" s="4"/>
      <c r="M11" s="5"/>
      <c r="N11" s="5"/>
      <c r="O11" s="4"/>
      <c r="P11" s="4"/>
      <c r="Q11" s="4"/>
      <c r="R11" s="4"/>
      <c r="S11" s="4"/>
      <c r="T11" s="5"/>
      <c r="U11" s="5"/>
      <c r="V11" s="4"/>
      <c r="W11" s="4"/>
      <c r="X11" s="4"/>
      <c r="Y11" s="4"/>
      <c r="Z11" s="4"/>
      <c r="AA11" s="5"/>
      <c r="AB11" s="5"/>
      <c r="AC11" s="4"/>
      <c r="AD11" s="4"/>
      <c r="AE11" s="4"/>
      <c r="AF11" s="4"/>
      <c r="AG11" s="4"/>
      <c r="AH11" s="1"/>
      <c r="AI11" s="1">
        <f t="shared" si="0"/>
        <v>0</v>
      </c>
    </row>
    <row r="12" ht="15.6" spans="1:35">
      <c r="A12" s="7">
        <v>10</v>
      </c>
      <c r="B12" s="8"/>
      <c r="C12" s="4" t="s">
        <v>87</v>
      </c>
      <c r="D12" s="4" t="s">
        <v>87</v>
      </c>
      <c r="E12" s="4" t="s">
        <v>87</v>
      </c>
      <c r="F12" s="5" t="s">
        <v>56</v>
      </c>
      <c r="G12" s="5" t="s">
        <v>56</v>
      </c>
      <c r="H12" s="4" t="s">
        <v>87</v>
      </c>
      <c r="I12" s="4" t="s">
        <v>87</v>
      </c>
      <c r="J12" s="4" t="s">
        <v>87</v>
      </c>
      <c r="K12" s="4" t="s">
        <v>87</v>
      </c>
      <c r="L12" s="4" t="s">
        <v>87</v>
      </c>
      <c r="M12" s="5" t="s">
        <v>56</v>
      </c>
      <c r="N12" s="5" t="s">
        <v>56</v>
      </c>
      <c r="O12" s="4" t="s">
        <v>87</v>
      </c>
      <c r="P12" s="4" t="s">
        <v>87</v>
      </c>
      <c r="Q12" s="4" t="s">
        <v>87</v>
      </c>
      <c r="R12" s="4" t="s">
        <v>87</v>
      </c>
      <c r="S12" s="4" t="s">
        <v>87</v>
      </c>
      <c r="T12" s="5" t="s">
        <v>56</v>
      </c>
      <c r="U12" s="5" t="s">
        <v>56</v>
      </c>
      <c r="V12" s="4" t="s">
        <v>87</v>
      </c>
      <c r="W12" s="4" t="s">
        <v>87</v>
      </c>
      <c r="X12" s="4" t="s">
        <v>87</v>
      </c>
      <c r="Y12" s="4" t="s">
        <v>87</v>
      </c>
      <c r="Z12" s="4" t="s">
        <v>87</v>
      </c>
      <c r="AA12" s="5" t="s">
        <v>56</v>
      </c>
      <c r="AB12" s="5" t="s">
        <v>56</v>
      </c>
      <c r="AC12" s="4" t="s">
        <v>87</v>
      </c>
      <c r="AD12" s="4" t="s">
        <v>87</v>
      </c>
      <c r="AE12" s="4" t="s">
        <v>87</v>
      </c>
      <c r="AF12" s="4" t="s">
        <v>87</v>
      </c>
      <c r="AG12" s="4" t="s">
        <v>87</v>
      </c>
      <c r="AH12" s="1">
        <v>8</v>
      </c>
      <c r="AI12" s="1">
        <f t="shared" si="0"/>
        <v>8</v>
      </c>
    </row>
    <row r="13" ht="15.6" spans="1:35">
      <c r="A13" s="7">
        <v>11</v>
      </c>
      <c r="B13" s="8"/>
      <c r="C13" s="4" t="s">
        <v>87</v>
      </c>
      <c r="D13" s="4" t="s">
        <v>87</v>
      </c>
      <c r="E13" s="4" t="s">
        <v>87</v>
      </c>
      <c r="F13" s="5" t="s">
        <v>56</v>
      </c>
      <c r="G13" s="5" t="s">
        <v>56</v>
      </c>
      <c r="H13" s="4" t="s">
        <v>87</v>
      </c>
      <c r="I13" s="4" t="s">
        <v>87</v>
      </c>
      <c r="J13" s="4" t="s">
        <v>87</v>
      </c>
      <c r="K13" s="4" t="s">
        <v>87</v>
      </c>
      <c r="L13" s="4" t="s">
        <v>87</v>
      </c>
      <c r="M13" s="5" t="s">
        <v>56</v>
      </c>
      <c r="N13" s="5" t="s">
        <v>56</v>
      </c>
      <c r="O13" s="4" t="s">
        <v>87</v>
      </c>
      <c r="P13" s="4" t="s">
        <v>87</v>
      </c>
      <c r="Q13" s="4" t="s">
        <v>87</v>
      </c>
      <c r="R13" s="4" t="s">
        <v>87</v>
      </c>
      <c r="S13" s="4" t="s">
        <v>87</v>
      </c>
      <c r="T13" s="5" t="s">
        <v>56</v>
      </c>
      <c r="U13" s="5" t="s">
        <v>56</v>
      </c>
      <c r="V13" s="4" t="s">
        <v>87</v>
      </c>
      <c r="W13" s="4" t="s">
        <v>87</v>
      </c>
      <c r="X13" s="4" t="s">
        <v>87</v>
      </c>
      <c r="Y13" s="4" t="s">
        <v>87</v>
      </c>
      <c r="Z13" s="4" t="s">
        <v>87</v>
      </c>
      <c r="AA13" s="5" t="s">
        <v>56</v>
      </c>
      <c r="AB13" s="5" t="s">
        <v>56</v>
      </c>
      <c r="AC13" s="4" t="s">
        <v>87</v>
      </c>
      <c r="AD13" s="4" t="s">
        <v>87</v>
      </c>
      <c r="AE13" s="4" t="s">
        <v>87</v>
      </c>
      <c r="AF13" s="4" t="s">
        <v>87</v>
      </c>
      <c r="AG13" s="4" t="s">
        <v>87</v>
      </c>
      <c r="AH13" s="1">
        <v>8</v>
      </c>
      <c r="AI13" s="1">
        <f t="shared" si="0"/>
        <v>8</v>
      </c>
    </row>
    <row r="14" ht="15.6" spans="1:35">
      <c r="A14" s="7">
        <v>12</v>
      </c>
      <c r="B14" s="8"/>
      <c r="C14" s="4" t="s">
        <v>87</v>
      </c>
      <c r="D14" s="4" t="s">
        <v>87</v>
      </c>
      <c r="E14" s="4" t="s">
        <v>87</v>
      </c>
      <c r="F14" s="5" t="s">
        <v>56</v>
      </c>
      <c r="G14" s="5" t="s">
        <v>56</v>
      </c>
      <c r="H14" s="4" t="s">
        <v>87</v>
      </c>
      <c r="I14" s="4" t="s">
        <v>87</v>
      </c>
      <c r="J14" s="4" t="s">
        <v>87</v>
      </c>
      <c r="K14" s="4" t="s">
        <v>87</v>
      </c>
      <c r="L14" s="4" t="s">
        <v>87</v>
      </c>
      <c r="M14" s="5" t="s">
        <v>56</v>
      </c>
      <c r="N14" s="5" t="s">
        <v>56</v>
      </c>
      <c r="O14" s="4" t="s">
        <v>87</v>
      </c>
      <c r="P14" s="4" t="s">
        <v>87</v>
      </c>
      <c r="Q14" s="4" t="s">
        <v>87</v>
      </c>
      <c r="R14" s="4" t="s">
        <v>87</v>
      </c>
      <c r="S14" s="4" t="s">
        <v>87</v>
      </c>
      <c r="T14" s="5" t="s">
        <v>56</v>
      </c>
      <c r="U14" s="5" t="s">
        <v>56</v>
      </c>
      <c r="V14" s="4" t="s">
        <v>87</v>
      </c>
      <c r="W14" s="4" t="s">
        <v>87</v>
      </c>
      <c r="X14" s="4" t="s">
        <v>87</v>
      </c>
      <c r="Y14" s="4" t="s">
        <v>87</v>
      </c>
      <c r="Z14" s="4" t="s">
        <v>87</v>
      </c>
      <c r="AA14" s="5" t="s">
        <v>56</v>
      </c>
      <c r="AB14" s="5" t="s">
        <v>56</v>
      </c>
      <c r="AC14" s="4" t="s">
        <v>87</v>
      </c>
      <c r="AD14" s="4" t="s">
        <v>87</v>
      </c>
      <c r="AE14" s="4" t="s">
        <v>87</v>
      </c>
      <c r="AF14" s="4" t="s">
        <v>87</v>
      </c>
      <c r="AG14" s="4" t="s">
        <v>87</v>
      </c>
      <c r="AH14" s="1">
        <v>8</v>
      </c>
      <c r="AI14" s="1">
        <f t="shared" si="0"/>
        <v>8</v>
      </c>
    </row>
    <row r="15" ht="15.6" spans="1:35">
      <c r="A15" s="7">
        <v>13</v>
      </c>
      <c r="B15" s="8"/>
      <c r="C15" s="4" t="s">
        <v>87</v>
      </c>
      <c r="D15" s="4" t="s">
        <v>87</v>
      </c>
      <c r="E15" s="4" t="s">
        <v>87</v>
      </c>
      <c r="F15" s="5" t="s">
        <v>56</v>
      </c>
      <c r="G15" s="5" t="s">
        <v>56</v>
      </c>
      <c r="H15" s="4" t="s">
        <v>87</v>
      </c>
      <c r="I15" s="4" t="s">
        <v>87</v>
      </c>
      <c r="J15" s="4" t="s">
        <v>87</v>
      </c>
      <c r="K15" s="4" t="s">
        <v>87</v>
      </c>
      <c r="L15" s="4" t="s">
        <v>87</v>
      </c>
      <c r="M15" s="5" t="s">
        <v>56</v>
      </c>
      <c r="N15" s="5" t="s">
        <v>56</v>
      </c>
      <c r="O15" s="4" t="s">
        <v>87</v>
      </c>
      <c r="P15" s="4" t="s">
        <v>87</v>
      </c>
      <c r="Q15" s="4" t="s">
        <v>87</v>
      </c>
      <c r="R15" s="4" t="s">
        <v>87</v>
      </c>
      <c r="S15" s="4" t="s">
        <v>87</v>
      </c>
      <c r="T15" s="5" t="s">
        <v>56</v>
      </c>
      <c r="U15" s="5" t="s">
        <v>56</v>
      </c>
      <c r="V15" s="4" t="s">
        <v>87</v>
      </c>
      <c r="W15" s="4" t="s">
        <v>87</v>
      </c>
      <c r="X15" s="4" t="s">
        <v>87</v>
      </c>
      <c r="Y15" s="4" t="s">
        <v>87</v>
      </c>
      <c r="Z15" s="4" t="s">
        <v>87</v>
      </c>
      <c r="AA15" s="5" t="s">
        <v>56</v>
      </c>
      <c r="AB15" s="5" t="s">
        <v>56</v>
      </c>
      <c r="AC15" s="4" t="s">
        <v>87</v>
      </c>
      <c r="AD15" s="4" t="s">
        <v>87</v>
      </c>
      <c r="AE15" s="4" t="s">
        <v>87</v>
      </c>
      <c r="AF15" s="4" t="s">
        <v>87</v>
      </c>
      <c r="AG15" s="4" t="s">
        <v>87</v>
      </c>
      <c r="AH15" s="1">
        <v>8</v>
      </c>
      <c r="AI15" s="1">
        <f t="shared" si="0"/>
        <v>8</v>
      </c>
    </row>
    <row r="16" ht="15.6" spans="1:35">
      <c r="A16" s="7">
        <v>14</v>
      </c>
      <c r="B16" s="8"/>
      <c r="C16" s="4" t="s">
        <v>87</v>
      </c>
      <c r="D16" s="4" t="s">
        <v>87</v>
      </c>
      <c r="E16" s="4" t="s">
        <v>87</v>
      </c>
      <c r="F16" s="5" t="s">
        <v>56</v>
      </c>
      <c r="G16" s="5" t="s">
        <v>56</v>
      </c>
      <c r="H16" s="4" t="s">
        <v>87</v>
      </c>
      <c r="I16" s="4" t="s">
        <v>87</v>
      </c>
      <c r="J16" s="4" t="s">
        <v>87</v>
      </c>
      <c r="K16" s="4" t="s">
        <v>87</v>
      </c>
      <c r="L16" s="4" t="s">
        <v>87</v>
      </c>
      <c r="M16" s="5" t="s">
        <v>56</v>
      </c>
      <c r="N16" s="5" t="s">
        <v>56</v>
      </c>
      <c r="O16" s="4" t="s">
        <v>87</v>
      </c>
      <c r="P16" s="4" t="s">
        <v>87</v>
      </c>
      <c r="Q16" s="4" t="s">
        <v>87</v>
      </c>
      <c r="R16" s="4" t="s">
        <v>87</v>
      </c>
      <c r="S16" s="4" t="s">
        <v>87</v>
      </c>
      <c r="T16" s="5" t="s">
        <v>56</v>
      </c>
      <c r="U16" s="5" t="s">
        <v>56</v>
      </c>
      <c r="V16" s="4" t="s">
        <v>87</v>
      </c>
      <c r="W16" s="4" t="s">
        <v>87</v>
      </c>
      <c r="X16" s="4" t="s">
        <v>87</v>
      </c>
      <c r="Y16" s="4" t="s">
        <v>87</v>
      </c>
      <c r="Z16" s="4" t="s">
        <v>87</v>
      </c>
      <c r="AA16" s="5" t="s">
        <v>56</v>
      </c>
      <c r="AB16" s="5" t="s">
        <v>56</v>
      </c>
      <c r="AC16" s="4" t="s">
        <v>87</v>
      </c>
      <c r="AD16" s="4" t="s">
        <v>87</v>
      </c>
      <c r="AE16" s="4" t="s">
        <v>87</v>
      </c>
      <c r="AF16" s="4" t="s">
        <v>87</v>
      </c>
      <c r="AG16" s="4" t="s">
        <v>87</v>
      </c>
      <c r="AH16" s="1">
        <v>8</v>
      </c>
      <c r="AI16" s="1">
        <f t="shared" si="0"/>
        <v>8</v>
      </c>
    </row>
    <row r="17" ht="15.6" spans="1:35">
      <c r="A17" s="7">
        <v>15</v>
      </c>
      <c r="B17" s="8"/>
      <c r="C17" s="4" t="s">
        <v>87</v>
      </c>
      <c r="D17" s="4" t="s">
        <v>87</v>
      </c>
      <c r="E17" s="4" t="s">
        <v>87</v>
      </c>
      <c r="F17" s="5" t="s">
        <v>56</v>
      </c>
      <c r="G17" s="5" t="s">
        <v>56</v>
      </c>
      <c r="H17" s="4" t="s">
        <v>87</v>
      </c>
      <c r="I17" s="4" t="s">
        <v>87</v>
      </c>
      <c r="J17" s="4" t="s">
        <v>87</v>
      </c>
      <c r="K17" s="4" t="s">
        <v>87</v>
      </c>
      <c r="L17" s="4" t="s">
        <v>87</v>
      </c>
      <c r="M17" s="5" t="s">
        <v>56</v>
      </c>
      <c r="N17" s="5" t="s">
        <v>56</v>
      </c>
      <c r="O17" s="4" t="s">
        <v>87</v>
      </c>
      <c r="P17" s="4" t="s">
        <v>87</v>
      </c>
      <c r="Q17" s="4" t="s">
        <v>87</v>
      </c>
      <c r="R17" s="4" t="s">
        <v>87</v>
      </c>
      <c r="S17" s="4" t="s">
        <v>87</v>
      </c>
      <c r="T17" s="5" t="s">
        <v>56</v>
      </c>
      <c r="U17" s="5" t="s">
        <v>56</v>
      </c>
      <c r="V17" s="4" t="s">
        <v>87</v>
      </c>
      <c r="W17" s="4" t="s">
        <v>87</v>
      </c>
      <c r="X17" s="4" t="s">
        <v>87</v>
      </c>
      <c r="Y17" s="4" t="s">
        <v>87</v>
      </c>
      <c r="Z17" s="4" t="s">
        <v>87</v>
      </c>
      <c r="AA17" s="5" t="s">
        <v>56</v>
      </c>
      <c r="AB17" s="5" t="s">
        <v>56</v>
      </c>
      <c r="AC17" s="4" t="s">
        <v>87</v>
      </c>
      <c r="AD17" s="4" t="s">
        <v>87</v>
      </c>
      <c r="AE17" s="4" t="s">
        <v>87</v>
      </c>
      <c r="AF17" s="4" t="s">
        <v>87</v>
      </c>
      <c r="AG17" s="4" t="s">
        <v>87</v>
      </c>
      <c r="AH17" s="1">
        <v>8</v>
      </c>
      <c r="AI17" s="1">
        <f t="shared" si="0"/>
        <v>8</v>
      </c>
    </row>
    <row r="18" ht="15.6" spans="1:35">
      <c r="A18" s="7">
        <v>16</v>
      </c>
      <c r="B18" s="8"/>
      <c r="C18" s="4" t="s">
        <v>87</v>
      </c>
      <c r="D18" s="4" t="s">
        <v>87</v>
      </c>
      <c r="E18" s="4" t="s">
        <v>87</v>
      </c>
      <c r="F18" s="5" t="s">
        <v>56</v>
      </c>
      <c r="G18" s="5" t="s">
        <v>56</v>
      </c>
      <c r="H18" s="4" t="s">
        <v>87</v>
      </c>
      <c r="I18" s="4" t="s">
        <v>87</v>
      </c>
      <c r="J18" s="4" t="s">
        <v>87</v>
      </c>
      <c r="K18" s="4" t="s">
        <v>87</v>
      </c>
      <c r="L18" s="4" t="s">
        <v>87</v>
      </c>
      <c r="M18" s="5" t="s">
        <v>56</v>
      </c>
      <c r="N18" s="5" t="s">
        <v>56</v>
      </c>
      <c r="O18" s="4" t="s">
        <v>87</v>
      </c>
      <c r="P18" s="4" t="s">
        <v>87</v>
      </c>
      <c r="Q18" s="4" t="s">
        <v>87</v>
      </c>
      <c r="R18" s="4" t="s">
        <v>87</v>
      </c>
      <c r="S18" s="4" t="s">
        <v>87</v>
      </c>
      <c r="T18" s="5" t="s">
        <v>56</v>
      </c>
      <c r="U18" s="5" t="s">
        <v>56</v>
      </c>
      <c r="V18" s="4" t="s">
        <v>87</v>
      </c>
      <c r="W18" s="4" t="s">
        <v>87</v>
      </c>
      <c r="X18" s="4" t="s">
        <v>87</v>
      </c>
      <c r="Y18" s="4" t="s">
        <v>87</v>
      </c>
      <c r="Z18" s="4" t="s">
        <v>87</v>
      </c>
      <c r="AA18" s="5" t="s">
        <v>56</v>
      </c>
      <c r="AB18" s="5" t="s">
        <v>56</v>
      </c>
      <c r="AC18" s="4" t="s">
        <v>87</v>
      </c>
      <c r="AD18" s="4" t="s">
        <v>87</v>
      </c>
      <c r="AE18" s="4" t="s">
        <v>87</v>
      </c>
      <c r="AF18" s="4" t="s">
        <v>87</v>
      </c>
      <c r="AG18" s="4" t="s">
        <v>87</v>
      </c>
      <c r="AH18" s="1">
        <v>8</v>
      </c>
      <c r="AI18" s="1">
        <f t="shared" si="0"/>
        <v>8</v>
      </c>
    </row>
    <row r="19" ht="15.6" spans="1:35">
      <c r="A19" s="7">
        <v>17</v>
      </c>
      <c r="B19" s="8"/>
      <c r="C19" s="4" t="s">
        <v>87</v>
      </c>
      <c r="D19" s="4" t="s">
        <v>87</v>
      </c>
      <c r="E19" s="4" t="s">
        <v>87</v>
      </c>
      <c r="F19" s="5" t="s">
        <v>56</v>
      </c>
      <c r="G19" s="5" t="s">
        <v>56</v>
      </c>
      <c r="H19" s="4" t="s">
        <v>87</v>
      </c>
      <c r="I19" s="4" t="s">
        <v>87</v>
      </c>
      <c r="J19" s="4" t="s">
        <v>87</v>
      </c>
      <c r="K19" s="4" t="s">
        <v>87</v>
      </c>
      <c r="L19" s="4" t="s">
        <v>87</v>
      </c>
      <c r="M19" s="5" t="s">
        <v>56</v>
      </c>
      <c r="N19" s="5" t="s">
        <v>56</v>
      </c>
      <c r="O19" s="4" t="s">
        <v>87</v>
      </c>
      <c r="P19" s="4" t="s">
        <v>87</v>
      </c>
      <c r="Q19" s="4" t="s">
        <v>87</v>
      </c>
      <c r="R19" s="4" t="s">
        <v>87</v>
      </c>
      <c r="S19" s="4" t="s">
        <v>87</v>
      </c>
      <c r="T19" s="5" t="s">
        <v>56</v>
      </c>
      <c r="U19" s="5" t="s">
        <v>56</v>
      </c>
      <c r="V19" s="4" t="s">
        <v>87</v>
      </c>
      <c r="W19" s="4" t="s">
        <v>87</v>
      </c>
      <c r="X19" s="4" t="s">
        <v>87</v>
      </c>
      <c r="Y19" s="4" t="s">
        <v>87</v>
      </c>
      <c r="Z19" s="4" t="s">
        <v>87</v>
      </c>
      <c r="AA19" s="5" t="s">
        <v>56</v>
      </c>
      <c r="AB19" s="5" t="s">
        <v>56</v>
      </c>
      <c r="AC19" s="4" t="s">
        <v>87</v>
      </c>
      <c r="AD19" s="4" t="s">
        <v>87</v>
      </c>
      <c r="AE19" s="4" t="s">
        <v>87</v>
      </c>
      <c r="AF19" s="4" t="s">
        <v>87</v>
      </c>
      <c r="AG19" s="4" t="s">
        <v>87</v>
      </c>
      <c r="AH19" s="1">
        <v>8</v>
      </c>
      <c r="AI19" s="1">
        <f t="shared" si="0"/>
        <v>8</v>
      </c>
    </row>
    <row r="20" ht="15.6" spans="1:35">
      <c r="A20" s="7">
        <v>18</v>
      </c>
      <c r="B20" s="8"/>
      <c r="C20" s="4" t="s">
        <v>87</v>
      </c>
      <c r="D20" s="4" t="s">
        <v>87</v>
      </c>
      <c r="E20" s="4" t="s">
        <v>87</v>
      </c>
      <c r="F20" s="5" t="s">
        <v>56</v>
      </c>
      <c r="G20" s="5" t="s">
        <v>56</v>
      </c>
      <c r="H20" s="4" t="s">
        <v>87</v>
      </c>
      <c r="I20" s="4" t="s">
        <v>87</v>
      </c>
      <c r="J20" s="4" t="s">
        <v>87</v>
      </c>
      <c r="K20" s="4" t="s">
        <v>87</v>
      </c>
      <c r="L20" s="4" t="s">
        <v>87</v>
      </c>
      <c r="M20" s="5" t="s">
        <v>56</v>
      </c>
      <c r="N20" s="5" t="s">
        <v>56</v>
      </c>
      <c r="O20" s="4" t="s">
        <v>87</v>
      </c>
      <c r="P20" s="4" t="s">
        <v>87</v>
      </c>
      <c r="Q20" s="4" t="s">
        <v>87</v>
      </c>
      <c r="R20" s="4" t="s">
        <v>87</v>
      </c>
      <c r="S20" s="4" t="s">
        <v>87</v>
      </c>
      <c r="T20" s="5" t="s">
        <v>56</v>
      </c>
      <c r="U20" s="5" t="s">
        <v>56</v>
      </c>
      <c r="V20" s="4" t="s">
        <v>87</v>
      </c>
      <c r="W20" s="4" t="s">
        <v>87</v>
      </c>
      <c r="X20" s="4" t="s">
        <v>87</v>
      </c>
      <c r="Y20" s="4" t="s">
        <v>87</v>
      </c>
      <c r="Z20" s="4" t="s">
        <v>87</v>
      </c>
      <c r="AA20" s="5" t="s">
        <v>56</v>
      </c>
      <c r="AB20" s="5" t="s">
        <v>56</v>
      </c>
      <c r="AC20" s="4" t="s">
        <v>87</v>
      </c>
      <c r="AD20" s="4" t="s">
        <v>87</v>
      </c>
      <c r="AE20" s="4" t="s">
        <v>87</v>
      </c>
      <c r="AF20" s="4" t="s">
        <v>87</v>
      </c>
      <c r="AG20" s="4" t="s">
        <v>87</v>
      </c>
      <c r="AH20" s="1">
        <v>8</v>
      </c>
      <c r="AI20" s="1">
        <f t="shared" si="0"/>
        <v>8</v>
      </c>
    </row>
    <row r="21" ht="15.6" spans="1:35">
      <c r="A21" s="7">
        <v>19</v>
      </c>
      <c r="B21" s="8"/>
      <c r="C21" s="4" t="s">
        <v>87</v>
      </c>
      <c r="D21" s="4" t="s">
        <v>87</v>
      </c>
      <c r="E21" s="4" t="s">
        <v>87</v>
      </c>
      <c r="F21" s="5" t="s">
        <v>56</v>
      </c>
      <c r="G21" s="5" t="s">
        <v>56</v>
      </c>
      <c r="H21" s="4" t="s">
        <v>87</v>
      </c>
      <c r="I21" s="4" t="s">
        <v>87</v>
      </c>
      <c r="J21" s="4" t="s">
        <v>87</v>
      </c>
      <c r="K21" s="4" t="s">
        <v>87</v>
      </c>
      <c r="L21" s="4" t="s">
        <v>87</v>
      </c>
      <c r="M21" s="5" t="s">
        <v>56</v>
      </c>
      <c r="N21" s="5" t="s">
        <v>56</v>
      </c>
      <c r="O21" s="4" t="s">
        <v>87</v>
      </c>
      <c r="P21" s="4" t="s">
        <v>87</v>
      </c>
      <c r="Q21" s="4" t="s">
        <v>87</v>
      </c>
      <c r="R21" s="4" t="s">
        <v>87</v>
      </c>
      <c r="S21" s="4" t="s">
        <v>87</v>
      </c>
      <c r="T21" s="5" t="s">
        <v>56</v>
      </c>
      <c r="U21" s="5" t="s">
        <v>56</v>
      </c>
      <c r="V21" s="4" t="s">
        <v>87</v>
      </c>
      <c r="W21" s="4" t="s">
        <v>87</v>
      </c>
      <c r="X21" s="4" t="s">
        <v>87</v>
      </c>
      <c r="Y21" s="4" t="s">
        <v>87</v>
      </c>
      <c r="Z21" s="4" t="s">
        <v>87</v>
      </c>
      <c r="AA21" s="5" t="s">
        <v>56</v>
      </c>
      <c r="AB21" s="5" t="s">
        <v>56</v>
      </c>
      <c r="AC21" s="4" t="s">
        <v>87</v>
      </c>
      <c r="AD21" s="4" t="s">
        <v>87</v>
      </c>
      <c r="AE21" s="4" t="s">
        <v>87</v>
      </c>
      <c r="AF21" s="4" t="s">
        <v>87</v>
      </c>
      <c r="AG21" s="4" t="s">
        <v>87</v>
      </c>
      <c r="AH21" s="1">
        <v>8</v>
      </c>
      <c r="AI21" s="1">
        <f t="shared" si="0"/>
        <v>8</v>
      </c>
    </row>
    <row r="22" ht="15.6" spans="1:35">
      <c r="A22" s="7">
        <v>20</v>
      </c>
      <c r="B22" s="8"/>
      <c r="C22" s="4" t="s">
        <v>87</v>
      </c>
      <c r="D22" s="4" t="s">
        <v>87</v>
      </c>
      <c r="E22" s="4" t="s">
        <v>87</v>
      </c>
      <c r="F22" s="5" t="s">
        <v>56</v>
      </c>
      <c r="G22" s="5" t="s">
        <v>56</v>
      </c>
      <c r="H22" s="4" t="s">
        <v>87</v>
      </c>
      <c r="I22" s="4" t="s">
        <v>87</v>
      </c>
      <c r="J22" s="4" t="s">
        <v>87</v>
      </c>
      <c r="K22" s="4" t="s">
        <v>87</v>
      </c>
      <c r="L22" s="4" t="s">
        <v>87</v>
      </c>
      <c r="M22" s="5" t="s">
        <v>56</v>
      </c>
      <c r="N22" s="5" t="s">
        <v>56</v>
      </c>
      <c r="O22" s="4" t="s">
        <v>87</v>
      </c>
      <c r="P22" s="4" t="s">
        <v>87</v>
      </c>
      <c r="Q22" s="4" t="s">
        <v>87</v>
      </c>
      <c r="R22" s="4" t="s">
        <v>87</v>
      </c>
      <c r="S22" s="4" t="s">
        <v>87</v>
      </c>
      <c r="T22" s="5" t="s">
        <v>56</v>
      </c>
      <c r="U22" s="5" t="s">
        <v>56</v>
      </c>
      <c r="V22" s="4" t="s">
        <v>87</v>
      </c>
      <c r="W22" s="4" t="s">
        <v>87</v>
      </c>
      <c r="X22" s="4" t="s">
        <v>87</v>
      </c>
      <c r="Y22" s="4" t="s">
        <v>87</v>
      </c>
      <c r="Z22" s="4" t="s">
        <v>87</v>
      </c>
      <c r="AA22" s="5" t="s">
        <v>56</v>
      </c>
      <c r="AB22" s="5" t="s">
        <v>56</v>
      </c>
      <c r="AC22" s="4" t="s">
        <v>87</v>
      </c>
      <c r="AD22" s="4" t="s">
        <v>87</v>
      </c>
      <c r="AE22" s="4" t="s">
        <v>87</v>
      </c>
      <c r="AF22" s="4" t="s">
        <v>87</v>
      </c>
      <c r="AG22" s="4" t="s">
        <v>87</v>
      </c>
      <c r="AH22" s="1">
        <v>8</v>
      </c>
      <c r="AI22" s="1">
        <f t="shared" si="0"/>
        <v>8</v>
      </c>
    </row>
    <row r="23" ht="15.6" spans="1:35">
      <c r="A23" s="7">
        <v>21</v>
      </c>
      <c r="B23" s="3"/>
      <c r="C23" s="4" t="s">
        <v>87</v>
      </c>
      <c r="D23" s="4" t="s">
        <v>87</v>
      </c>
      <c r="E23" s="4" t="s">
        <v>87</v>
      </c>
      <c r="F23" s="5" t="s">
        <v>56</v>
      </c>
      <c r="G23" s="5" t="s">
        <v>56</v>
      </c>
      <c r="H23" s="4" t="s">
        <v>87</v>
      </c>
      <c r="I23" s="4" t="s">
        <v>87</v>
      </c>
      <c r="J23" s="4" t="s">
        <v>87</v>
      </c>
      <c r="K23" s="4" t="s">
        <v>87</v>
      </c>
      <c r="L23" s="4" t="s">
        <v>87</v>
      </c>
      <c r="M23" s="5" t="s">
        <v>56</v>
      </c>
      <c r="N23" s="5" t="s">
        <v>56</v>
      </c>
      <c r="O23" s="4" t="s">
        <v>87</v>
      </c>
      <c r="P23" s="4" t="s">
        <v>87</v>
      </c>
      <c r="Q23" s="4" t="s">
        <v>87</v>
      </c>
      <c r="R23" s="4" t="s">
        <v>87</v>
      </c>
      <c r="S23" s="4" t="s">
        <v>87</v>
      </c>
      <c r="T23" s="5" t="s">
        <v>56</v>
      </c>
      <c r="U23" s="5" t="s">
        <v>56</v>
      </c>
      <c r="V23" s="4" t="s">
        <v>87</v>
      </c>
      <c r="W23" s="4" t="s">
        <v>87</v>
      </c>
      <c r="X23" s="4" t="s">
        <v>87</v>
      </c>
      <c r="Y23" s="4" t="s">
        <v>87</v>
      </c>
      <c r="Z23" s="4" t="s">
        <v>87</v>
      </c>
      <c r="AA23" s="5" t="s">
        <v>56</v>
      </c>
      <c r="AB23" s="5" t="s">
        <v>56</v>
      </c>
      <c r="AC23" s="4" t="s">
        <v>87</v>
      </c>
      <c r="AD23" s="4" t="s">
        <v>87</v>
      </c>
      <c r="AE23" s="4" t="s">
        <v>87</v>
      </c>
      <c r="AF23" s="4" t="s">
        <v>87</v>
      </c>
      <c r="AG23" s="4" t="s">
        <v>87</v>
      </c>
      <c r="AH23" s="1">
        <v>8</v>
      </c>
      <c r="AI23" s="1">
        <f t="shared" si="0"/>
        <v>8</v>
      </c>
    </row>
    <row r="24" ht="15.6" spans="1:35">
      <c r="A24" s="7">
        <v>22</v>
      </c>
      <c r="B24" s="3"/>
      <c r="C24" s="4" t="s">
        <v>87</v>
      </c>
      <c r="D24" s="4" t="s">
        <v>87</v>
      </c>
      <c r="E24" s="4" t="s">
        <v>87</v>
      </c>
      <c r="F24" s="5" t="s">
        <v>56</v>
      </c>
      <c r="G24" s="5" t="s">
        <v>56</v>
      </c>
      <c r="H24" s="4" t="s">
        <v>87</v>
      </c>
      <c r="I24" s="4" t="s">
        <v>87</v>
      </c>
      <c r="J24" s="4" t="s">
        <v>87</v>
      </c>
      <c r="K24" s="4" t="s">
        <v>87</v>
      </c>
      <c r="L24" s="4" t="s">
        <v>87</v>
      </c>
      <c r="M24" s="5" t="s">
        <v>56</v>
      </c>
      <c r="N24" s="5" t="s">
        <v>56</v>
      </c>
      <c r="O24" s="4" t="s">
        <v>87</v>
      </c>
      <c r="P24" s="4" t="s">
        <v>87</v>
      </c>
      <c r="Q24" s="4" t="s">
        <v>87</v>
      </c>
      <c r="R24" s="4" t="s">
        <v>87</v>
      </c>
      <c r="S24" s="4" t="s">
        <v>87</v>
      </c>
      <c r="T24" s="5" t="s">
        <v>56</v>
      </c>
      <c r="U24" s="5" t="s">
        <v>56</v>
      </c>
      <c r="V24" s="4" t="s">
        <v>87</v>
      </c>
      <c r="W24" s="4" t="s">
        <v>87</v>
      </c>
      <c r="X24" s="4" t="s">
        <v>87</v>
      </c>
      <c r="Y24" s="4" t="s">
        <v>87</v>
      </c>
      <c r="Z24" s="4" t="s">
        <v>87</v>
      </c>
      <c r="AA24" s="5" t="s">
        <v>56</v>
      </c>
      <c r="AB24" s="5" t="s">
        <v>56</v>
      </c>
      <c r="AC24" s="4" t="s">
        <v>87</v>
      </c>
      <c r="AD24" s="4" t="s">
        <v>87</v>
      </c>
      <c r="AE24" s="4" t="s">
        <v>87</v>
      </c>
      <c r="AF24" s="4" t="s">
        <v>87</v>
      </c>
      <c r="AG24" s="4" t="s">
        <v>87</v>
      </c>
      <c r="AH24" s="1">
        <v>8</v>
      </c>
      <c r="AI24" s="1">
        <f t="shared" si="0"/>
        <v>8</v>
      </c>
    </row>
    <row r="25" ht="15.6" spans="1:35">
      <c r="A25" s="7">
        <v>23</v>
      </c>
      <c r="B25" s="3"/>
      <c r="C25" s="4" t="s">
        <v>87</v>
      </c>
      <c r="D25" s="4" t="s">
        <v>87</v>
      </c>
      <c r="E25" s="4" t="s">
        <v>87</v>
      </c>
      <c r="F25" s="5" t="s">
        <v>56</v>
      </c>
      <c r="G25" s="5" t="s">
        <v>56</v>
      </c>
      <c r="H25" s="4" t="s">
        <v>87</v>
      </c>
      <c r="I25" s="4" t="s">
        <v>87</v>
      </c>
      <c r="J25" s="4" t="s">
        <v>87</v>
      </c>
      <c r="K25" s="4" t="s">
        <v>87</v>
      </c>
      <c r="L25" s="4" t="s">
        <v>87</v>
      </c>
      <c r="M25" s="5" t="s">
        <v>56</v>
      </c>
      <c r="N25" s="5" t="s">
        <v>56</v>
      </c>
      <c r="O25" s="4" t="s">
        <v>87</v>
      </c>
      <c r="P25" s="4" t="s">
        <v>87</v>
      </c>
      <c r="Q25" s="4" t="s">
        <v>87</v>
      </c>
      <c r="R25" s="4" t="s">
        <v>87</v>
      </c>
      <c r="S25" s="4" t="s">
        <v>87</v>
      </c>
      <c r="T25" s="5" t="s">
        <v>56</v>
      </c>
      <c r="U25" s="5" t="s">
        <v>56</v>
      </c>
      <c r="V25" s="4" t="s">
        <v>87</v>
      </c>
      <c r="W25" s="4" t="s">
        <v>87</v>
      </c>
      <c r="X25" s="4" t="s">
        <v>87</v>
      </c>
      <c r="Y25" s="4" t="s">
        <v>87</v>
      </c>
      <c r="Z25" s="4" t="s">
        <v>87</v>
      </c>
      <c r="AA25" s="5" t="s">
        <v>56</v>
      </c>
      <c r="AB25" s="5" t="s">
        <v>56</v>
      </c>
      <c r="AC25" s="4" t="s">
        <v>87</v>
      </c>
      <c r="AD25" s="4" t="s">
        <v>87</v>
      </c>
      <c r="AE25" s="4" t="s">
        <v>87</v>
      </c>
      <c r="AF25" s="4" t="s">
        <v>87</v>
      </c>
      <c r="AG25" s="4" t="s">
        <v>87</v>
      </c>
      <c r="AH25" s="1">
        <v>8</v>
      </c>
      <c r="AI25" s="1">
        <f t="shared" si="0"/>
        <v>8</v>
      </c>
    </row>
  </sheetData>
  <pageMargins left="0.25" right="0.25" top="0.75" bottom="0.75" header="0.298611111111111" footer="0.298611111111111"/>
  <pageSetup paperSize="9" orientation="landscape" horizontalDpi="600"/>
  <headerFooter>
    <oddHeader>&amp;C&amp;16&amp;E&amp;B&amp;A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岗位设置</vt:lpstr>
      <vt:lpstr>模拟排班算休息</vt:lpstr>
      <vt:lpstr>雨花药房门急诊202607排班模拟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HUAWEI</cp:lastModifiedBy>
  <dcterms:created xsi:type="dcterms:W3CDTF">2015-06-05T18:19:00Z</dcterms:created>
  <dcterms:modified xsi:type="dcterms:W3CDTF">2026-05-21T07:31:34Z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1F7DA25A441A4F1584A46BC9F90E6F24_12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